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D:\School\Gitblub\Leerjaar 2\Semester 4\Blokboek\1_Implementatie\"/>
    </mc:Choice>
  </mc:AlternateContent>
  <bookViews>
    <workbookView xWindow="0" yWindow="0" windowWidth="20370" windowHeight="8970" activeTab="1"/>
  </bookViews>
  <sheets>
    <sheet name="Gebruikersinfo" sheetId="2" r:id="rId1"/>
    <sheet name="Risico-analyse" sheetId="1" r:id="rId2"/>
    <sheet name="Blad1" sheetId="3" r:id="rId3"/>
  </sheets>
  <definedNames>
    <definedName name="_xlnm.Print_Area" localSheetId="1">'Risico-analyse'!$A$1:$F$90</definedName>
  </definedNames>
  <calcPr calcId="171027"/>
</workbook>
</file>

<file path=xl/calcChain.xml><?xml version="1.0" encoding="utf-8"?>
<calcChain xmlns="http://schemas.openxmlformats.org/spreadsheetml/2006/main">
  <c r="C2" i="1" l="1"/>
  <c r="D7" i="1"/>
  <c r="F7" i="1" s="1"/>
  <c r="D8" i="1"/>
  <c r="F8" i="1"/>
  <c r="D9" i="1"/>
  <c r="F9" i="1" s="1"/>
  <c r="D11" i="1"/>
  <c r="F11" i="1"/>
  <c r="D12" i="1"/>
  <c r="F12" i="1" s="1"/>
  <c r="D13" i="1"/>
  <c r="F13" i="1"/>
  <c r="D14" i="1"/>
  <c r="F14" i="1" s="1"/>
  <c r="D15" i="1"/>
  <c r="F15" i="1"/>
  <c r="D16" i="1"/>
  <c r="F16" i="1" s="1"/>
  <c r="D17" i="1"/>
  <c r="F17" i="1"/>
  <c r="D19" i="1"/>
  <c r="F19" i="1" s="1"/>
  <c r="D20" i="1"/>
  <c r="F20" i="1"/>
  <c r="D21" i="1"/>
  <c r="F21" i="1" s="1"/>
  <c r="D22" i="1"/>
  <c r="F22" i="1"/>
  <c r="D23" i="1"/>
  <c r="F23" i="1" s="1"/>
  <c r="D25" i="1"/>
  <c r="F25" i="1"/>
  <c r="D26" i="1"/>
  <c r="F26" i="1" s="1"/>
  <c r="D27" i="1"/>
  <c r="F27" i="1"/>
  <c r="D28" i="1"/>
  <c r="F28" i="1" s="1"/>
  <c r="D29" i="1"/>
  <c r="F29" i="1"/>
  <c r="D30" i="1"/>
  <c r="F30" i="1" s="1"/>
  <c r="D31" i="1"/>
  <c r="F31" i="1"/>
  <c r="D32" i="1"/>
  <c r="F32" i="1" s="1"/>
  <c r="D38" i="1"/>
  <c r="F38" i="1"/>
  <c r="D39" i="1"/>
  <c r="F39" i="1" s="1"/>
  <c r="D40" i="1"/>
  <c r="F40" i="1"/>
  <c r="D41" i="1"/>
  <c r="F41" i="1" s="1"/>
  <c r="D42" i="1"/>
  <c r="F42" i="1"/>
  <c r="D43" i="1"/>
  <c r="F43" i="1" s="1"/>
  <c r="F57" i="1" l="1"/>
  <c r="F59" i="1"/>
  <c r="F56" i="1"/>
  <c r="F44" i="1"/>
  <c r="F45" i="1" s="1"/>
  <c r="F60" i="1"/>
  <c r="F58" i="1"/>
</calcChain>
</file>

<file path=xl/sharedStrings.xml><?xml version="1.0" encoding="utf-8"?>
<sst xmlns="http://schemas.openxmlformats.org/spreadsheetml/2006/main" count="202" uniqueCount="124">
  <si>
    <t>Categorie</t>
  </si>
  <si>
    <t>Risico</t>
  </si>
  <si>
    <t>Tijdsfactor</t>
  </si>
  <si>
    <t>Geschatte looptijd van het project</t>
  </si>
  <si>
    <t>Complexiteit van het project</t>
  </si>
  <si>
    <t>Aantal functionele deelgebieden dat betrokken is</t>
  </si>
  <si>
    <t>Aantal functionele deelgebieden dat gebruik gaat maken van de resultaten</t>
  </si>
  <si>
    <t>De projectgroep</t>
  </si>
  <si>
    <t>Aantal projectleden dat op piektijden &gt; 80% betrokken is</t>
  </si>
  <si>
    <t>Verhouding materiedeskundigen tov projectdeskundigen</t>
  </si>
  <si>
    <t>De projectleiding</t>
  </si>
  <si>
    <t>Duidelijkheid van het project</t>
  </si>
  <si>
    <t xml:space="preserve">Totaal </t>
  </si>
  <si>
    <t>Waarde *</t>
  </si>
  <si>
    <t>Factor **</t>
  </si>
  <si>
    <t>Zwaarte **</t>
  </si>
  <si>
    <t>Risicopercentage ***</t>
  </si>
  <si>
    <t>* Waarde gekozen door projectleider.</t>
  </si>
  <si>
    <t>Maximaal</t>
  </si>
  <si>
    <t>Score</t>
  </si>
  <si>
    <t>** Hoogte factor en waarde staan vast.</t>
  </si>
  <si>
    <t>Risicotot.</t>
  </si>
  <si>
    <t xml:space="preserve">voor een hoog risico zorgt. Hieronder een specificatie per categorie om eventuele verbeterpunten  </t>
  </si>
  <si>
    <t>zichtbaar te maken.</t>
  </si>
  <si>
    <t>0 - 3 maanden</t>
  </si>
  <si>
    <t>3 - 6 maanden</t>
  </si>
  <si>
    <t>6+ maanden</t>
  </si>
  <si>
    <t>Nee</t>
  </si>
  <si>
    <t>Ja</t>
  </si>
  <si>
    <t>Flexibel</t>
  </si>
  <si>
    <t>Ruim voldoende</t>
  </si>
  <si>
    <t>Voldoende</t>
  </si>
  <si>
    <t>Onvoldoende</t>
  </si>
  <si>
    <r>
      <t>Categorie</t>
    </r>
    <r>
      <rPr>
        <sz val="8"/>
        <rFont val="Arial"/>
        <family val="2"/>
      </rPr>
      <t xml:space="preserve"> (met maximale score versus werkelijke score)</t>
    </r>
  </si>
  <si>
    <t>3+</t>
  </si>
  <si>
    <t>2-3</t>
  </si>
  <si>
    <t>Kleine aanpassingen</t>
  </si>
  <si>
    <t>Grote aanpassingen</t>
  </si>
  <si>
    <t>Geheel nieuw</t>
  </si>
  <si>
    <t>Niet</t>
  </si>
  <si>
    <t>Minimaal</t>
  </si>
  <si>
    <t>Gemiddeld</t>
  </si>
  <si>
    <t>Sterk</t>
  </si>
  <si>
    <t>Ja, er is tijd genoeg</t>
  </si>
  <si>
    <t>Ja, er is weinig tijd</t>
  </si>
  <si>
    <t>Positief</t>
  </si>
  <si>
    <t>Gereserveerd</t>
  </si>
  <si>
    <t>Geïnteresseerd</t>
  </si>
  <si>
    <t>Enigszins</t>
  </si>
  <si>
    <t>Beperkt intern</t>
  </si>
  <si>
    <t>Voorn. interne</t>
  </si>
  <si>
    <t>Voorn. externe</t>
  </si>
  <si>
    <t xml:space="preserve"> 1-3</t>
  </si>
  <si>
    <t>1-5</t>
  </si>
  <si>
    <t>5-10</t>
  </si>
  <si>
    <t>10+</t>
  </si>
  <si>
    <t>Goed</t>
  </si>
  <si>
    <t>Redelijk</t>
  </si>
  <si>
    <t>Slecht</t>
  </si>
  <si>
    <t>In sterke mate</t>
  </si>
  <si>
    <t>In redelijke mate</t>
  </si>
  <si>
    <t>In beperkte mate</t>
  </si>
  <si>
    <t>Redelijk deskundig</t>
  </si>
  <si>
    <t>Zeer deskundig</t>
  </si>
  <si>
    <t>Beperkt deskundig</t>
  </si>
  <si>
    <t>Veel ervaring</t>
  </si>
  <si>
    <t>Redelijk veel ervaring</t>
  </si>
  <si>
    <t>Weinig ervaring</t>
  </si>
  <si>
    <t>Sterk betrokken</t>
  </si>
  <si>
    <t>Redelijk betrokken</t>
  </si>
  <si>
    <t>Beperkt betrokken</t>
  </si>
  <si>
    <t>Kleine kans</t>
  </si>
  <si>
    <t>Gemiddelde kans</t>
  </si>
  <si>
    <t>Grote kans</t>
  </si>
  <si>
    <t>Ja, alleen maar</t>
  </si>
  <si>
    <t>Ja, een aantal</t>
  </si>
  <si>
    <t>Ja, iedereen</t>
  </si>
  <si>
    <t>De meeste wel</t>
  </si>
  <si>
    <t>Niet allemaal</t>
  </si>
  <si>
    <t>Niet nauwkeurig</t>
  </si>
  <si>
    <t>De meeste niet</t>
  </si>
  <si>
    <t xml:space="preserve">Ja </t>
  </si>
  <si>
    <t>Conclusie:</t>
  </si>
  <si>
    <t>*** Risicopercentage is de totaalscore gedeeld door 433 (maximale score) maal 100.</t>
  </si>
  <si>
    <r>
      <t>i</t>
    </r>
    <r>
      <rPr>
        <sz val="8"/>
        <color indexed="23"/>
        <rFont val="Arial"/>
        <family val="2"/>
      </rPr>
      <t>maak keuze</t>
    </r>
    <r>
      <rPr>
        <sz val="8"/>
        <color indexed="23"/>
        <rFont val="Wingdings 3"/>
        <family val="1"/>
        <charset val="2"/>
      </rPr>
      <t>i</t>
    </r>
  </si>
  <si>
    <t>Print</t>
  </si>
  <si>
    <t>&gt; Het eerst veld kan worden gebruikt voor de titel van het plan van aanpak.
&gt; Kies bij de analyse de waarde die de situatie het best beschrijft; de berekening verloopt vervolgens automatisch.
&gt; Het laatste gele veld (onder de grafiek) kan worden gebruikt voor een toelichting op de score/het percentage/risico's.</t>
  </si>
  <si>
    <t>Gebruikersinformatie en tips</t>
  </si>
  <si>
    <t>1) INVULLEN &gt;&gt; Vul alle gelen velden:</t>
  </si>
  <si>
    <t>2) PRINTEN</t>
  </si>
  <si>
    <t>3) BEVEILIGING</t>
  </si>
  <si>
    <t>Dit Excelmodel is gemaakt door Jurgen Winkel</t>
  </si>
  <si>
    <t>&gt; Het tabblad is zo ingesteld dat de analyse op 2 A4's zal worden geprint.
&gt; De datum staat automatisch op "vandaag".
&gt; Wees milieubewust; print bewust.</t>
  </si>
  <si>
    <r>
      <t xml:space="preserve">&gt; Om de werking van de analyse gebruiksvriendelijk te maken is is gebruik gemaakt van een wachtwoord: met de TAB-toets kun je door de gele cellen navigeren.
&gt; Het wachtwoord is: </t>
    </r>
    <r>
      <rPr>
        <b/>
        <sz val="10"/>
        <rFont val="Arial"/>
        <family val="2"/>
      </rPr>
      <t>analyse</t>
    </r>
    <r>
      <rPr>
        <sz val="10"/>
        <rFont val="Arial"/>
      </rPr>
      <t>.</t>
    </r>
  </si>
  <si>
    <t xml:space="preserve">Deze risico-analyse is een bewerking van de methode beschreven in het: `handboek informatieplanning´ Directie Economisch Beheer, ´s-Gravenhage, 1989 en is onderdeel van "Project Management" door Roel Grit (5e druk ISBN 978 90 01 80262 2 </t>
  </si>
  <si>
    <t>Kent het project een definitieve deadline?</t>
  </si>
  <si>
    <t>Is de tijd voldoende om het project te realiseren?</t>
  </si>
  <si>
    <t>Gaat het om een aanpassing of een nieuw project?</t>
  </si>
  <si>
    <t>In hoeverre zullen bestaande verantwoordelijkheden moeten wijzigen?</t>
  </si>
  <si>
    <t>Zijn er andere projecten afhankelijk van dit project?</t>
  </si>
  <si>
    <t>Wat zal de houding zijn van de gebruikers?</t>
  </si>
  <si>
    <t>Zijn er deelprojecten, is de voortgang afhankelijk van de coordinatie hiertussen?</t>
  </si>
  <si>
    <t>Welke medewerkers werken aan het project mee?</t>
  </si>
  <si>
    <t>Wat is het geografische spreiding van de projecten?</t>
  </si>
  <si>
    <t>Nemen gebruikers deel aan de projectgroep?</t>
  </si>
  <si>
    <t>Is de projectleiding materiedeskundig?</t>
  </si>
  <si>
    <t>Hoe deskundig is de projectleiding mbt de projectplanning?</t>
  </si>
  <si>
    <t>Hoeveel ervaring heeft de projectleider met projecten als deze?</t>
  </si>
  <si>
    <t>Hoe deskundig zijn de adviseurs op het te onderzoeken gebied?</t>
  </si>
  <si>
    <t>Hoe deskundig zijn de materiedeskundigen op het te onderzoeken gebied?</t>
  </si>
  <si>
    <t>Hoe betrokken zijn de verantwoordelijke lijnmanagers bij het project?</t>
  </si>
  <si>
    <t>Is de kans groot dat de samenstelling van de projectgroep wijzigt tijdens het project?</t>
  </si>
  <si>
    <t>Worden door de projectgroep standaardmethoden gebruikt?</t>
  </si>
  <si>
    <t>Zijn probleem en doelstelling voldoende bekend bij alle projectleden?</t>
  </si>
  <si>
    <t>Is het onderzoeksgebied nauwkeurig vastgelegd?</t>
  </si>
  <si>
    <t>Is er voldoende afbakening met andere projecten?</t>
  </si>
  <si>
    <t>Is er voldoende tijd gepland voor afstemming en besluitvorming?</t>
  </si>
  <si>
    <t>Zijn de randvoorwaarden duidelijk?</t>
  </si>
  <si>
    <t>Werken de randvoorwaarden beperkend genoeg?</t>
  </si>
  <si>
    <t>Aangezien het risicopercentage een totaalbeeld geeft, kan het zijn dat een bepaalde categorie wel</t>
  </si>
  <si>
    <t>Risicoanalyse</t>
  </si>
  <si>
    <t>Vervolg risicoanalyse</t>
  </si>
  <si>
    <t>Bij een risicopercentage &gt; 50% dient het project niet in deze vorm te worden uitgevoerd.</t>
  </si>
  <si>
    <t>Comp-U-Service, MiddenPolder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</si>
</sst>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name val="Arial"/>
    </font>
    <font>
      <sz val="8"/>
      <name val="Arial"/>
    </font>
    <font>
      <sz val="8"/>
      <name val="Arial"/>
      <family val="2"/>
    </font>
    <font>
      <b/>
      <sz val="8"/>
      <name val="Arial"/>
      <family val="2"/>
    </font>
    <font>
      <i/>
      <sz val="8"/>
      <name val="Arial"/>
      <family val="2"/>
    </font>
    <font>
      <sz val="8"/>
      <color indexed="23"/>
      <name val="Wingdings 3"/>
      <family val="1"/>
      <charset val="2"/>
    </font>
    <font>
      <sz val="8"/>
      <color indexed="23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4" xfId="0" applyFont="1" applyBorder="1"/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left" vertical="top"/>
    </xf>
    <xf numFmtId="0" fontId="2" fillId="0" borderId="8" xfId="0" applyFont="1" applyBorder="1" applyAlignment="1">
      <alignment vertical="top"/>
    </xf>
    <xf numFmtId="0" fontId="2" fillId="0" borderId="8" xfId="0" applyFont="1" applyBorder="1" applyAlignment="1">
      <alignment horizontal="justify" vertical="top"/>
    </xf>
    <xf numFmtId="0" fontId="2" fillId="0" borderId="7" xfId="0" applyFont="1" applyBorder="1" applyAlignment="1">
      <alignment vertical="top"/>
    </xf>
    <xf numFmtId="0" fontId="2" fillId="0" borderId="7" xfId="0" applyFont="1" applyBorder="1" applyAlignment="1">
      <alignment horizontal="justify"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justify" vertical="top"/>
    </xf>
    <xf numFmtId="0" fontId="2" fillId="0" borderId="5" xfId="0" applyFont="1" applyBorder="1"/>
    <xf numFmtId="0" fontId="2" fillId="0" borderId="6" xfId="0" applyFont="1" applyBorder="1" applyAlignment="1">
      <alignment horizontal="justify" vertical="top"/>
    </xf>
    <xf numFmtId="0" fontId="2" fillId="0" borderId="5" xfId="0" applyFont="1" applyBorder="1" applyAlignment="1">
      <alignment horizontal="justify" vertical="top"/>
    </xf>
    <xf numFmtId="0" fontId="2" fillId="0" borderId="9" xfId="0" applyFont="1" applyBorder="1" applyAlignment="1">
      <alignment horizontal="justify" vertical="top"/>
    </xf>
    <xf numFmtId="0" fontId="2" fillId="0" borderId="0" xfId="0" applyFont="1" applyBorder="1" applyAlignment="1">
      <alignment horizontal="justify" vertical="top"/>
    </xf>
    <xf numFmtId="0" fontId="2" fillId="0" borderId="0" xfId="0" applyFont="1" applyBorder="1"/>
    <xf numFmtId="0" fontId="2" fillId="0" borderId="10" xfId="0" applyFont="1" applyBorder="1" applyAlignment="1">
      <alignment horizontal="justify" vertical="top"/>
    </xf>
    <xf numFmtId="0" fontId="2" fillId="0" borderId="7" xfId="0" applyFont="1" applyBorder="1" applyAlignment="1">
      <alignment horizontal="center"/>
    </xf>
    <xf numFmtId="0" fontId="3" fillId="0" borderId="0" xfId="0" applyFont="1"/>
    <xf numFmtId="0" fontId="3" fillId="0" borderId="4" xfId="0" applyFont="1" applyBorder="1" applyAlignment="1">
      <alignment horizontal="justify" vertical="top"/>
    </xf>
    <xf numFmtId="0" fontId="2" fillId="0" borderId="6" xfId="0" applyFont="1" applyBorder="1"/>
    <xf numFmtId="0" fontId="3" fillId="0" borderId="7" xfId="0" applyFont="1" applyBorder="1" applyAlignment="1">
      <alignment horizontal="justify" vertical="top"/>
    </xf>
    <xf numFmtId="0" fontId="3" fillId="0" borderId="4" xfId="0" applyFont="1" applyBorder="1"/>
    <xf numFmtId="0" fontId="3" fillId="0" borderId="6" xfId="0" applyFont="1" applyBorder="1"/>
    <xf numFmtId="10" fontId="3" fillId="0" borderId="7" xfId="0" applyNumberFormat="1" applyFont="1" applyBorder="1" applyAlignment="1">
      <alignment horizontal="left" vertical="top"/>
    </xf>
    <xf numFmtId="0" fontId="4" fillId="0" borderId="0" xfId="0" applyFont="1"/>
    <xf numFmtId="0" fontId="3" fillId="0" borderId="1" xfId="0" applyFont="1" applyBorder="1" applyAlignment="1"/>
    <xf numFmtId="0" fontId="2" fillId="0" borderId="7" xfId="0" applyFont="1" applyBorder="1"/>
    <xf numFmtId="0" fontId="2" fillId="0" borderId="8" xfId="0" applyFont="1" applyBorder="1" applyAlignment="1">
      <alignment horizontal="left"/>
    </xf>
    <xf numFmtId="16" fontId="2" fillId="0" borderId="0" xfId="0" quotePrefix="1" applyNumberFormat="1" applyFont="1"/>
    <xf numFmtId="0" fontId="2" fillId="0" borderId="0" xfId="0" quotePrefix="1" applyFont="1"/>
    <xf numFmtId="0" fontId="3" fillId="0" borderId="7" xfId="0" applyFont="1" applyBorder="1" applyAlignment="1">
      <alignment horizontal="center"/>
    </xf>
    <xf numFmtId="0" fontId="2" fillId="2" borderId="8" xfId="0" applyFont="1" applyFill="1" applyBorder="1" applyAlignment="1" applyProtection="1">
      <alignment horizontal="justify" vertical="top"/>
      <protection locked="0"/>
    </xf>
    <xf numFmtId="0" fontId="2" fillId="2" borderId="7" xfId="0" applyFont="1" applyFill="1" applyBorder="1" applyAlignment="1" applyProtection="1">
      <alignment horizontal="justify" vertical="top"/>
      <protection locked="0"/>
    </xf>
    <xf numFmtId="0" fontId="2" fillId="2" borderId="3" xfId="0" applyFont="1" applyFill="1" applyBorder="1" applyAlignment="1" applyProtection="1">
      <alignment horizontal="justify" vertical="top"/>
      <protection locked="0"/>
    </xf>
    <xf numFmtId="1" fontId="2" fillId="2" borderId="7" xfId="0" applyNumberFormat="1" applyFont="1" applyFill="1" applyBorder="1" applyAlignment="1" applyProtection="1">
      <alignment horizontal="justify" vertical="top"/>
      <protection locked="0"/>
    </xf>
    <xf numFmtId="0" fontId="3" fillId="0" borderId="4" xfId="0" applyFont="1" applyBorder="1" applyAlignment="1">
      <alignment horizontal="left"/>
    </xf>
    <xf numFmtId="0" fontId="4" fillId="0" borderId="0" xfId="0" applyFont="1" applyBorder="1" applyAlignment="1">
      <alignment vertical="top"/>
    </xf>
    <xf numFmtId="0" fontId="5" fillId="0" borderId="5" xfId="0" applyFont="1" applyBorder="1" applyAlignment="1">
      <alignment horizontal="center"/>
    </xf>
    <xf numFmtId="14" fontId="4" fillId="3" borderId="7" xfId="0" applyNumberFormat="1" applyFont="1" applyFill="1" applyBorder="1" applyAlignment="1">
      <alignment horizontal="center"/>
    </xf>
    <xf numFmtId="0" fontId="7" fillId="4" borderId="7" xfId="0" applyFont="1" applyFill="1" applyBorder="1" applyAlignment="1">
      <alignment horizontal="center"/>
    </xf>
    <xf numFmtId="0" fontId="0" fillId="3" borderId="7" xfId="0" applyFill="1" applyBorder="1" applyAlignment="1">
      <alignment wrapText="1"/>
    </xf>
    <xf numFmtId="0" fontId="0" fillId="3" borderId="7" xfId="0" applyFill="1" applyBorder="1"/>
    <xf numFmtId="0" fontId="0" fillId="2" borderId="7" xfId="0" applyFill="1" applyBorder="1" applyAlignment="1">
      <alignment wrapText="1"/>
    </xf>
    <xf numFmtId="0" fontId="8" fillId="0" borderId="7" xfId="0" applyFont="1" applyBorder="1" applyAlignment="1"/>
    <xf numFmtId="0" fontId="7" fillId="2" borderId="8" xfId="0" applyFont="1" applyFill="1" applyBorder="1" applyAlignment="1" applyProtection="1">
      <alignment vertical="top"/>
      <protection locked="0"/>
    </xf>
    <xf numFmtId="0" fontId="2" fillId="0" borderId="2" xfId="0" applyFont="1" applyBorder="1" applyAlignment="1"/>
    <xf numFmtId="0" fontId="2" fillId="0" borderId="5" xfId="0" applyFont="1" applyBorder="1" applyAlignment="1"/>
    <xf numFmtId="0" fontId="2" fillId="0" borderId="0" xfId="0" applyFont="1" applyBorder="1" applyAlignment="1">
      <alignment vertical="top"/>
    </xf>
    <xf numFmtId="0" fontId="2" fillId="0" borderId="10" xfId="0" applyFont="1" applyBorder="1" applyAlignment="1">
      <alignment vertical="top"/>
    </xf>
    <xf numFmtId="0" fontId="2" fillId="0" borderId="7" xfId="0" applyFont="1" applyBorder="1" applyAlignment="1"/>
    <xf numFmtId="0" fontId="2" fillId="0" borderId="0" xfId="0" applyFont="1" applyAlignment="1"/>
    <xf numFmtId="0" fontId="2" fillId="0" borderId="0" xfId="0" applyFont="1" applyBorder="1" applyAlignment="1"/>
    <xf numFmtId="0" fontId="2" fillId="0" borderId="11" xfId="0" applyFont="1" applyBorder="1" applyAlignment="1"/>
    <xf numFmtId="0" fontId="2" fillId="0" borderId="6" xfId="0" applyFont="1" applyBorder="1" applyAlignment="1"/>
    <xf numFmtId="0" fontId="2" fillId="0" borderId="8" xfId="0" applyFont="1" applyBorder="1" applyAlignment="1"/>
    <xf numFmtId="49" fontId="2" fillId="0" borderId="8" xfId="0" applyNumberFormat="1" applyFont="1" applyBorder="1" applyAlignment="1">
      <alignment wrapText="1"/>
    </xf>
    <xf numFmtId="49" fontId="2" fillId="0" borderId="7" xfId="0" applyNumberFormat="1" applyFont="1" applyBorder="1" applyAlignment="1">
      <alignment wrapText="1"/>
    </xf>
    <xf numFmtId="49" fontId="2" fillId="0" borderId="7" xfId="0" applyNumberFormat="1" applyFont="1" applyBorder="1" applyAlignment="1">
      <alignment vertical="top" wrapText="1"/>
    </xf>
    <xf numFmtId="49" fontId="2" fillId="0" borderId="3" xfId="0" applyNumberFormat="1" applyFont="1" applyBorder="1" applyAlignment="1">
      <alignment wrapText="1"/>
    </xf>
    <xf numFmtId="0" fontId="2" fillId="0" borderId="8" xfId="0" applyFont="1" applyBorder="1" applyAlignment="1">
      <alignment vertical="top" wrapText="1"/>
    </xf>
    <xf numFmtId="0" fontId="2" fillId="0" borderId="7" xfId="0" applyFont="1" applyBorder="1" applyAlignment="1">
      <alignment vertical="top" wrapText="1"/>
    </xf>
    <xf numFmtId="0" fontId="2" fillId="0" borderId="3" xfId="0" applyFont="1" applyBorder="1" applyAlignment="1">
      <alignment vertical="top" wrapText="1"/>
    </xf>
    <xf numFmtId="0" fontId="2" fillId="0" borderId="0" xfId="0" applyFont="1" applyAlignment="1">
      <alignment vertical="top" wrapText="1"/>
    </xf>
    <xf numFmtId="0" fontId="2" fillId="2" borderId="12" xfId="0" applyFont="1" applyFill="1" applyBorder="1" applyAlignment="1" applyProtection="1">
      <alignment vertical="top" wrapText="1"/>
      <protection locked="0"/>
    </xf>
    <xf numFmtId="0" fontId="2" fillId="2" borderId="13" xfId="0" applyFont="1" applyFill="1" applyBorder="1" applyAlignment="1" applyProtection="1">
      <alignment vertical="top" wrapText="1"/>
      <protection locked="0"/>
    </xf>
    <xf numFmtId="0" fontId="2" fillId="2" borderId="14" xfId="0" applyFont="1" applyFill="1" applyBorder="1" applyAlignment="1" applyProtection="1">
      <alignment vertical="top" wrapText="1"/>
      <protection locked="0"/>
    </xf>
    <xf numFmtId="0" fontId="2" fillId="2" borderId="15" xfId="0" applyFont="1" applyFill="1" applyBorder="1" applyAlignment="1" applyProtection="1">
      <alignment vertical="top" wrapText="1"/>
      <protection locked="0"/>
    </xf>
    <xf numFmtId="0" fontId="2" fillId="2" borderId="0" xfId="0" applyFont="1" applyFill="1" applyBorder="1" applyAlignment="1" applyProtection="1">
      <alignment vertical="top" wrapText="1"/>
      <protection locked="0"/>
    </xf>
    <xf numFmtId="0" fontId="2" fillId="2" borderId="16" xfId="0" applyFont="1" applyFill="1" applyBorder="1" applyAlignment="1" applyProtection="1">
      <alignment vertical="top" wrapText="1"/>
      <protection locked="0"/>
    </xf>
    <xf numFmtId="0" fontId="2" fillId="2" borderId="17" xfId="0" applyFont="1" applyFill="1" applyBorder="1" applyAlignment="1" applyProtection="1">
      <alignment vertical="top" wrapText="1"/>
      <protection locked="0"/>
    </xf>
    <xf numFmtId="0" fontId="2" fillId="2" borderId="18" xfId="0" applyFont="1" applyFill="1" applyBorder="1" applyAlignment="1" applyProtection="1">
      <alignment vertical="top" wrapText="1"/>
      <protection locked="0"/>
    </xf>
    <xf numFmtId="0" fontId="2" fillId="2" borderId="19" xfId="0" applyFont="1" applyFill="1" applyBorder="1" applyAlignment="1" applyProtection="1">
      <alignment vertical="top" wrapText="1"/>
      <protection locked="0"/>
    </xf>
    <xf numFmtId="0" fontId="2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9" fillId="2" borderId="7" xfId="0" applyFont="1" applyFill="1" applyBorder="1" applyAlignment="1">
      <alignment wrapText="1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Maximale score versus werkelijke score</a:t>
            </a:r>
          </a:p>
        </c:rich>
      </c:tx>
      <c:layout>
        <c:manualLayout>
          <c:xMode val="edge"/>
          <c:yMode val="edge"/>
          <c:x val="0.18040089086859687"/>
          <c:y val="7.45102156348103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768374164810696E-2"/>
          <c:y val="0.27451085520394913"/>
          <c:w val="0.62583518930957682"/>
          <c:h val="0.26274610426663703"/>
        </c:manualLayout>
      </c:layout>
      <c:barChart>
        <c:barDir val="col"/>
        <c:grouping val="clustered"/>
        <c:varyColors val="0"/>
        <c:ser>
          <c:idx val="0"/>
          <c:order val="0"/>
          <c:tx>
            <c:v>Maximale score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'Risico-analyse'!$A$56:$A$60</c:f>
              <c:strCache>
                <c:ptCount val="5"/>
                <c:pt idx="0">
                  <c:v>Tijdsfactor</c:v>
                </c:pt>
                <c:pt idx="1">
                  <c:v>Complexiteit van het project</c:v>
                </c:pt>
                <c:pt idx="2">
                  <c:v>De projectgroep</c:v>
                </c:pt>
                <c:pt idx="3">
                  <c:v>De projectleiding</c:v>
                </c:pt>
                <c:pt idx="4">
                  <c:v>Duidelijkheid van het project</c:v>
                </c:pt>
              </c:strCache>
            </c:strRef>
          </c:cat>
          <c:val>
            <c:numRef>
              <c:f>'Risico-analyse'!$D$56:$D$60</c:f>
              <c:numCache>
                <c:formatCode>General</c:formatCode>
                <c:ptCount val="5"/>
                <c:pt idx="0">
                  <c:v>40</c:v>
                </c:pt>
                <c:pt idx="1">
                  <c:v>80</c:v>
                </c:pt>
                <c:pt idx="2">
                  <c:v>65</c:v>
                </c:pt>
                <c:pt idx="3">
                  <c:v>129</c:v>
                </c:pt>
                <c:pt idx="4">
                  <c:v>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5-4B0F-A3DB-C08C7917A09D}"/>
            </c:ext>
          </c:extLst>
        </c:ser>
        <c:ser>
          <c:idx val="1"/>
          <c:order val="1"/>
          <c:tx>
            <c:v>Score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'Risico-analyse'!$F$56:$F$60</c:f>
              <c:numCache>
                <c:formatCode>General</c:formatCode>
                <c:ptCount val="5"/>
                <c:pt idx="0">
                  <c:v>16</c:v>
                </c:pt>
                <c:pt idx="1">
                  <c:v>67</c:v>
                </c:pt>
                <c:pt idx="2">
                  <c:v>21</c:v>
                </c:pt>
                <c:pt idx="3">
                  <c:v>43</c:v>
                </c:pt>
                <c:pt idx="4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15-4B0F-A3DB-C08C7917A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2752063"/>
        <c:axId val="1"/>
      </c:barChart>
      <c:catAx>
        <c:axId val="10227520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64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022752063"/>
        <c:crosses val="autoZero"/>
        <c:crossBetween val="between"/>
        <c:majorUnit val="50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832962138084635"/>
          <c:y val="0.4078447841078689"/>
          <c:w val="0.2360801781737194"/>
          <c:h val="0.160784725438731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61</xdr:row>
      <xdr:rowOff>0</xdr:rowOff>
    </xdr:from>
    <xdr:to>
      <xdr:col>5</xdr:col>
      <xdr:colOff>9525</xdr:colOff>
      <xdr:row>78</xdr:row>
      <xdr:rowOff>0</xdr:rowOff>
    </xdr:to>
    <xdr:graphicFrame macro="">
      <xdr:nvGraphicFramePr>
        <xdr:cNvPr id="1069" name="Grafiek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3"/>
  <sheetViews>
    <sheetView showGridLines="0" zoomScale="25" zoomScaleNormal="25" workbookViewId="0">
      <selection activeCell="A7" sqref="A7"/>
    </sheetView>
  </sheetViews>
  <sheetFormatPr defaultRowHeight="12.75" x14ac:dyDescent="0.2"/>
  <cols>
    <col min="1" max="1" width="73" customWidth="1"/>
  </cols>
  <sheetData>
    <row r="1" spans="1:4" x14ac:dyDescent="0.2">
      <c r="A1" s="46" t="s">
        <v>87</v>
      </c>
    </row>
    <row r="2" spans="1:4" x14ac:dyDescent="0.2">
      <c r="A2" s="47" t="s">
        <v>88</v>
      </c>
    </row>
    <row r="3" spans="1:4" ht="63.75" x14ac:dyDescent="0.2">
      <c r="A3" s="49" t="s">
        <v>86</v>
      </c>
    </row>
    <row r="4" spans="1:4" x14ac:dyDescent="0.2">
      <c r="A4" s="48" t="s">
        <v>89</v>
      </c>
    </row>
    <row r="5" spans="1:4" ht="38.25" x14ac:dyDescent="0.2">
      <c r="A5" s="49" t="s">
        <v>92</v>
      </c>
    </row>
    <row r="6" spans="1:4" x14ac:dyDescent="0.2">
      <c r="A6" s="48" t="s">
        <v>90</v>
      </c>
    </row>
    <row r="7" spans="1:4" ht="38.25" x14ac:dyDescent="0.2">
      <c r="A7" s="81" t="s">
        <v>93</v>
      </c>
    </row>
    <row r="9" spans="1:4" x14ac:dyDescent="0.2">
      <c r="A9" t="s">
        <v>91</v>
      </c>
    </row>
    <row r="11" spans="1:4" s="1" customFormat="1" ht="11.25" x14ac:dyDescent="0.2">
      <c r="A11" s="69" t="s">
        <v>94</v>
      </c>
      <c r="B11" s="69"/>
      <c r="C11" s="69"/>
      <c r="D11" s="69"/>
    </row>
    <row r="12" spans="1:4" s="1" customFormat="1" ht="11.25" x14ac:dyDescent="0.2">
      <c r="A12" s="69"/>
      <c r="B12" s="69"/>
      <c r="C12" s="69"/>
      <c r="D12" s="69"/>
    </row>
    <row r="13" spans="1:4" s="1" customFormat="1" ht="11.25" x14ac:dyDescent="0.2">
      <c r="A13" s="69"/>
      <c r="B13" s="69"/>
      <c r="C13" s="69"/>
      <c r="D13" s="69"/>
    </row>
  </sheetData>
  <mergeCells count="1">
    <mergeCell ref="A11:D13"/>
  </mergeCells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91"/>
  <sheetViews>
    <sheetView tabSelected="1" zoomScaleNormal="100" zoomScaleSheetLayoutView="100" workbookViewId="0">
      <selection activeCell="B2" sqref="B2"/>
    </sheetView>
  </sheetViews>
  <sheetFormatPr defaultRowHeight="11.25" x14ac:dyDescent="0.2"/>
  <cols>
    <col min="1" max="1" width="8.7109375" style="1" customWidth="1"/>
    <col min="2" max="2" width="35" style="57" customWidth="1"/>
    <col min="3" max="3" width="11.5703125" style="1" customWidth="1"/>
    <col min="4" max="4" width="7.5703125" style="1" customWidth="1"/>
    <col min="5" max="5" width="10" style="1" customWidth="1"/>
    <col min="6" max="6" width="8.42578125" style="1" customWidth="1"/>
    <col min="7" max="36" width="9.140625" style="1" hidden="1" customWidth="1"/>
    <col min="37" max="16384" width="9.140625" style="1"/>
  </cols>
  <sheetData>
    <row r="1" spans="1:36" ht="15.75" x14ac:dyDescent="0.25">
      <c r="B1" s="50" t="s">
        <v>120</v>
      </c>
      <c r="C1" s="37" t="s">
        <v>85</v>
      </c>
    </row>
    <row r="2" spans="1:36" ht="25.5" customHeight="1" x14ac:dyDescent="0.2">
      <c r="B2" s="51" t="s">
        <v>123</v>
      </c>
      <c r="C2" s="45">
        <f ca="1">TODAY()</f>
        <v>42782</v>
      </c>
    </row>
    <row r="4" spans="1:36" x14ac:dyDescent="0.2">
      <c r="A4" s="79" t="s">
        <v>122</v>
      </c>
      <c r="B4" s="79"/>
      <c r="C4" s="79"/>
      <c r="D4" s="79"/>
    </row>
    <row r="5" spans="1:36" s="5" customFormat="1" x14ac:dyDescent="0.2">
      <c r="A5" s="2" t="s">
        <v>0</v>
      </c>
      <c r="B5" s="52" t="s">
        <v>1</v>
      </c>
      <c r="C5" s="3" t="s">
        <v>13</v>
      </c>
      <c r="D5" s="4" t="s">
        <v>14</v>
      </c>
      <c r="E5" s="4" t="s">
        <v>15</v>
      </c>
      <c r="F5" s="4" t="s">
        <v>21</v>
      </c>
    </row>
    <row r="6" spans="1:36" s="5" customFormat="1" x14ac:dyDescent="0.2">
      <c r="A6" s="28" t="s">
        <v>2</v>
      </c>
      <c r="B6" s="53"/>
      <c r="C6" s="44" t="s">
        <v>84</v>
      </c>
      <c r="D6" s="7"/>
      <c r="E6" s="7"/>
      <c r="F6" s="8"/>
      <c r="H6" s="5">
        <v>1</v>
      </c>
      <c r="I6" s="5">
        <v>2</v>
      </c>
      <c r="J6" s="5">
        <v>3</v>
      </c>
      <c r="K6" s="5">
        <v>4</v>
      </c>
      <c r="L6" s="5">
        <v>5</v>
      </c>
      <c r="M6" s="5">
        <v>6</v>
      </c>
      <c r="N6" s="5">
        <v>7</v>
      </c>
      <c r="O6" s="5">
        <v>8</v>
      </c>
      <c r="P6" s="5">
        <v>9</v>
      </c>
      <c r="Q6" s="5">
        <v>10</v>
      </c>
      <c r="R6" s="5">
        <v>11</v>
      </c>
      <c r="S6" s="5">
        <v>12</v>
      </c>
      <c r="T6" s="5">
        <v>13</v>
      </c>
      <c r="U6" s="5">
        <v>14</v>
      </c>
      <c r="V6" s="5">
        <v>15</v>
      </c>
      <c r="W6" s="5">
        <v>16</v>
      </c>
      <c r="X6" s="5">
        <v>17</v>
      </c>
      <c r="Y6" s="5">
        <v>18</v>
      </c>
      <c r="Z6" s="5">
        <v>19</v>
      </c>
      <c r="AA6" s="5">
        <v>20</v>
      </c>
      <c r="AB6" s="5">
        <v>21</v>
      </c>
      <c r="AC6" s="5">
        <v>22</v>
      </c>
      <c r="AD6" s="5">
        <v>23</v>
      </c>
      <c r="AE6" s="5">
        <v>24</v>
      </c>
      <c r="AF6" s="5">
        <v>25</v>
      </c>
      <c r="AG6" s="5">
        <v>26</v>
      </c>
      <c r="AH6" s="5">
        <v>27</v>
      </c>
      <c r="AI6" s="5">
        <v>28</v>
      </c>
      <c r="AJ6" s="5">
        <v>29</v>
      </c>
    </row>
    <row r="7" spans="1:36" ht="25.5" customHeight="1" x14ac:dyDescent="0.2">
      <c r="A7" s="9">
        <v>1</v>
      </c>
      <c r="B7" s="10" t="s">
        <v>3</v>
      </c>
      <c r="C7" s="38" t="s">
        <v>25</v>
      </c>
      <c r="D7" s="11">
        <f>IF(C7=$H$7,0,IF(C7=$H$8,1,IF(C7=$H$9,3,0)))</f>
        <v>1</v>
      </c>
      <c r="E7" s="11">
        <v>4</v>
      </c>
      <c r="F7" s="11">
        <f>SUM(D7*E7)</f>
        <v>4</v>
      </c>
      <c r="H7" s="1" t="s">
        <v>24</v>
      </c>
      <c r="I7" s="1" t="s">
        <v>27</v>
      </c>
      <c r="J7" s="1" t="s">
        <v>30</v>
      </c>
      <c r="K7" s="1">
        <v>1</v>
      </c>
      <c r="L7" s="1">
        <v>1</v>
      </c>
      <c r="M7" s="1" t="s">
        <v>36</v>
      </c>
      <c r="N7" s="1" t="s">
        <v>39</v>
      </c>
      <c r="O7" s="1" t="s">
        <v>27</v>
      </c>
      <c r="P7" s="1" t="s">
        <v>45</v>
      </c>
      <c r="Q7" s="1" t="s">
        <v>27</v>
      </c>
      <c r="R7" s="1" t="s">
        <v>50</v>
      </c>
      <c r="S7" s="1">
        <v>1</v>
      </c>
      <c r="T7" s="36" t="s">
        <v>53</v>
      </c>
      <c r="U7" s="1" t="s">
        <v>56</v>
      </c>
      <c r="V7" s="1" t="s">
        <v>59</v>
      </c>
      <c r="W7" s="1" t="s">
        <v>63</v>
      </c>
      <c r="X7" s="1" t="s">
        <v>63</v>
      </c>
      <c r="Y7" s="1" t="s">
        <v>65</v>
      </c>
      <c r="Z7" s="1" t="s">
        <v>63</v>
      </c>
      <c r="AA7" s="1" t="s">
        <v>63</v>
      </c>
      <c r="AB7" s="1" t="s">
        <v>68</v>
      </c>
      <c r="AC7" s="1" t="s">
        <v>71</v>
      </c>
      <c r="AD7" s="1" t="s">
        <v>74</v>
      </c>
      <c r="AE7" s="1" t="s">
        <v>76</v>
      </c>
      <c r="AF7" s="1" t="s">
        <v>28</v>
      </c>
      <c r="AG7" s="1" t="s">
        <v>31</v>
      </c>
      <c r="AH7" s="1" t="s">
        <v>31</v>
      </c>
      <c r="AI7" s="1" t="s">
        <v>28</v>
      </c>
      <c r="AJ7" s="1" t="s">
        <v>81</v>
      </c>
    </row>
    <row r="8" spans="1:36" ht="25.5" customHeight="1" x14ac:dyDescent="0.2">
      <c r="A8" s="9">
        <v>2</v>
      </c>
      <c r="B8" s="12" t="s">
        <v>95</v>
      </c>
      <c r="C8" s="39" t="s">
        <v>28</v>
      </c>
      <c r="D8" s="11">
        <f>IF(C8=$I$7,0,IF(C8=$I$8,2,IF(C8=$I$9,4,0)))</f>
        <v>2</v>
      </c>
      <c r="E8" s="13">
        <v>4</v>
      </c>
      <c r="F8" s="13">
        <f t="shared" ref="F8:F17" si="0">SUM(D8*E8)</f>
        <v>8</v>
      </c>
      <c r="H8" s="1" t="s">
        <v>25</v>
      </c>
      <c r="I8" s="1" t="s">
        <v>28</v>
      </c>
      <c r="J8" s="1" t="s">
        <v>31</v>
      </c>
      <c r="K8" s="1">
        <v>2</v>
      </c>
      <c r="L8" s="35" t="s">
        <v>35</v>
      </c>
      <c r="M8" s="1" t="s">
        <v>37</v>
      </c>
      <c r="N8" s="1" t="s">
        <v>40</v>
      </c>
      <c r="O8" s="1" t="s">
        <v>43</v>
      </c>
      <c r="P8" s="1" t="s">
        <v>47</v>
      </c>
      <c r="Q8" s="1" t="s">
        <v>48</v>
      </c>
      <c r="R8" s="1" t="s">
        <v>49</v>
      </c>
      <c r="S8" s="36" t="s">
        <v>52</v>
      </c>
      <c r="T8" s="36" t="s">
        <v>54</v>
      </c>
      <c r="U8" s="1" t="s">
        <v>57</v>
      </c>
      <c r="V8" s="1" t="s">
        <v>60</v>
      </c>
      <c r="W8" s="1" t="s">
        <v>62</v>
      </c>
      <c r="X8" s="1" t="s">
        <v>62</v>
      </c>
      <c r="Y8" s="1" t="s">
        <v>66</v>
      </c>
      <c r="Z8" s="1" t="s">
        <v>62</v>
      </c>
      <c r="AA8" s="1" t="s">
        <v>62</v>
      </c>
      <c r="AB8" s="1" t="s">
        <v>69</v>
      </c>
      <c r="AC8" s="1" t="s">
        <v>72</v>
      </c>
      <c r="AD8" s="1" t="s">
        <v>75</v>
      </c>
      <c r="AE8" s="1" t="s">
        <v>77</v>
      </c>
      <c r="AF8" s="1" t="s">
        <v>57</v>
      </c>
      <c r="AG8" s="1" t="s">
        <v>57</v>
      </c>
      <c r="AH8" s="1" t="s">
        <v>57</v>
      </c>
      <c r="AI8" s="1" t="s">
        <v>77</v>
      </c>
      <c r="AJ8" s="1" t="s">
        <v>57</v>
      </c>
    </row>
    <row r="9" spans="1:36" ht="25.5" customHeight="1" x14ac:dyDescent="0.2">
      <c r="A9" s="9">
        <v>3</v>
      </c>
      <c r="B9" s="14" t="s">
        <v>96</v>
      </c>
      <c r="C9" s="40" t="s">
        <v>31</v>
      </c>
      <c r="D9" s="11">
        <f>IF(C9=$J$7,0,IF(C9=$J$8,1,IF(C9=$J$9,3,0)))</f>
        <v>1</v>
      </c>
      <c r="E9" s="15">
        <v>4</v>
      </c>
      <c r="F9" s="15">
        <f t="shared" si="0"/>
        <v>4</v>
      </c>
      <c r="H9" s="1" t="s">
        <v>26</v>
      </c>
      <c r="I9" s="1" t="s">
        <v>29</v>
      </c>
      <c r="J9" s="1" t="s">
        <v>32</v>
      </c>
      <c r="K9" s="1" t="s">
        <v>34</v>
      </c>
      <c r="L9" s="1">
        <v>4</v>
      </c>
      <c r="M9" s="1" t="s">
        <v>38</v>
      </c>
      <c r="N9" s="1" t="s">
        <v>41</v>
      </c>
      <c r="O9" s="1" t="s">
        <v>44</v>
      </c>
      <c r="P9" s="1" t="s">
        <v>46</v>
      </c>
      <c r="Q9" s="1" t="s">
        <v>42</v>
      </c>
      <c r="R9" s="1" t="s">
        <v>51</v>
      </c>
      <c r="S9" s="1" t="s">
        <v>34</v>
      </c>
      <c r="T9" s="1" t="s">
        <v>55</v>
      </c>
      <c r="U9" s="1" t="s">
        <v>58</v>
      </c>
      <c r="V9" s="1" t="s">
        <v>61</v>
      </c>
      <c r="W9" s="1" t="s">
        <v>64</v>
      </c>
      <c r="X9" s="1" t="s">
        <v>64</v>
      </c>
      <c r="Y9" s="1" t="s">
        <v>67</v>
      </c>
      <c r="Z9" s="1" t="s">
        <v>64</v>
      </c>
      <c r="AA9" s="1" t="s">
        <v>64</v>
      </c>
      <c r="AB9" s="1" t="s">
        <v>70</v>
      </c>
      <c r="AC9" s="1" t="s">
        <v>73</v>
      </c>
      <c r="AD9" s="1" t="s">
        <v>27</v>
      </c>
      <c r="AE9" s="1" t="s">
        <v>78</v>
      </c>
      <c r="AF9" s="1" t="s">
        <v>79</v>
      </c>
      <c r="AG9" s="1" t="s">
        <v>32</v>
      </c>
      <c r="AH9" s="1" t="s">
        <v>32</v>
      </c>
      <c r="AI9" s="1" t="s">
        <v>80</v>
      </c>
      <c r="AJ9" s="1" t="s">
        <v>27</v>
      </c>
    </row>
    <row r="10" spans="1:36" x14ac:dyDescent="0.2">
      <c r="A10" s="42" t="s">
        <v>4</v>
      </c>
      <c r="B10" s="53"/>
      <c r="C10" s="44" t="s">
        <v>84</v>
      </c>
      <c r="D10" s="16"/>
      <c r="E10" s="16"/>
      <c r="F10" s="17"/>
      <c r="N10" s="1" t="s">
        <v>42</v>
      </c>
      <c r="AI10" s="1" t="s">
        <v>27</v>
      </c>
    </row>
    <row r="11" spans="1:36" ht="25.5" customHeight="1" x14ac:dyDescent="0.2">
      <c r="A11" s="9">
        <v>4</v>
      </c>
      <c r="B11" s="62" t="s">
        <v>5</v>
      </c>
      <c r="C11" s="38" t="s">
        <v>34</v>
      </c>
      <c r="D11" s="11">
        <f>IF(C11=$K$7,0,IF(C11=$K$8,1,IF(C11=$K$9,3,0)))</f>
        <v>3</v>
      </c>
      <c r="E11" s="11">
        <v>4</v>
      </c>
      <c r="F11" s="11">
        <f t="shared" si="0"/>
        <v>12</v>
      </c>
    </row>
    <row r="12" spans="1:36" ht="25.5" customHeight="1" x14ac:dyDescent="0.2">
      <c r="A12" s="9">
        <v>5</v>
      </c>
      <c r="B12" s="63" t="s">
        <v>6</v>
      </c>
      <c r="C12" s="41">
        <v>4</v>
      </c>
      <c r="D12" s="11">
        <f>IF(C12=$L$7,0,IF(C12=$L$8,1,IF(C12=$L$9,2,0)))</f>
        <v>2</v>
      </c>
      <c r="E12" s="13">
        <v>2</v>
      </c>
      <c r="F12" s="13">
        <f t="shared" si="0"/>
        <v>4</v>
      </c>
    </row>
    <row r="13" spans="1:36" ht="25.5" customHeight="1" x14ac:dyDescent="0.2">
      <c r="A13" s="9">
        <v>6</v>
      </c>
      <c r="B13" s="63" t="s">
        <v>97</v>
      </c>
      <c r="C13" s="39" t="s">
        <v>38</v>
      </c>
      <c r="D13" s="11">
        <f>IF(C13=$M$7,0,IF(C13=$M$8,2,IF(C13=$M$9,3,0)))</f>
        <v>3</v>
      </c>
      <c r="E13" s="13">
        <v>5</v>
      </c>
      <c r="F13" s="13">
        <f t="shared" si="0"/>
        <v>15</v>
      </c>
    </row>
    <row r="14" spans="1:36" ht="22.5" x14ac:dyDescent="0.2">
      <c r="A14" s="9">
        <v>7</v>
      </c>
      <c r="B14" s="63" t="s">
        <v>98</v>
      </c>
      <c r="C14" s="39" t="s">
        <v>42</v>
      </c>
      <c r="D14" s="11">
        <f>IF(C14=$N$7,0,IF(C14=$N$8,1,IF(C14=$N$9,2,IF(C14=N10,3,0))))</f>
        <v>3</v>
      </c>
      <c r="E14" s="13">
        <v>5</v>
      </c>
      <c r="F14" s="13">
        <f t="shared" si="0"/>
        <v>15</v>
      </c>
    </row>
    <row r="15" spans="1:36" ht="22.5" x14ac:dyDescent="0.2">
      <c r="A15" s="9">
        <v>8</v>
      </c>
      <c r="B15" s="63" t="s">
        <v>99</v>
      </c>
      <c r="C15" s="39" t="s">
        <v>43</v>
      </c>
      <c r="D15" s="11">
        <f>IF(C15=$O$7,0,IF(C15=$O$8,1,IF(C15=$O$9,3,0)))</f>
        <v>1</v>
      </c>
      <c r="E15" s="13">
        <v>5</v>
      </c>
      <c r="F15" s="13">
        <f t="shared" si="0"/>
        <v>5</v>
      </c>
    </row>
    <row r="16" spans="1:36" ht="25.5" customHeight="1" x14ac:dyDescent="0.2">
      <c r="A16" s="9">
        <v>9</v>
      </c>
      <c r="B16" s="64" t="s">
        <v>100</v>
      </c>
      <c r="C16" s="39" t="s">
        <v>46</v>
      </c>
      <c r="D16" s="11">
        <f>IF(C16=$P$7,0,IF(C16=$P$8,1,IF(C16=$P$9,2,0)))</f>
        <v>2</v>
      </c>
      <c r="E16" s="13">
        <v>5</v>
      </c>
      <c r="F16" s="13">
        <f t="shared" si="0"/>
        <v>10</v>
      </c>
    </row>
    <row r="17" spans="1:6" ht="25.5" customHeight="1" x14ac:dyDescent="0.2">
      <c r="A17" s="9">
        <v>10</v>
      </c>
      <c r="B17" s="65" t="s">
        <v>101</v>
      </c>
      <c r="C17" s="40" t="s">
        <v>48</v>
      </c>
      <c r="D17" s="11">
        <f>IF(C17=$Q$7,1,IF(C17=$Q$8,2,IF(C17=$Q$9,3,0)))</f>
        <v>2</v>
      </c>
      <c r="E17" s="15">
        <v>3</v>
      </c>
      <c r="F17" s="15">
        <f t="shared" si="0"/>
        <v>6</v>
      </c>
    </row>
    <row r="18" spans="1:6" x14ac:dyDescent="0.2">
      <c r="A18" s="28" t="s">
        <v>7</v>
      </c>
      <c r="B18" s="53"/>
      <c r="C18" s="44" t="s">
        <v>84</v>
      </c>
      <c r="D18" s="18"/>
      <c r="E18" s="18"/>
      <c r="F18" s="17"/>
    </row>
    <row r="19" spans="1:6" ht="25.5" customHeight="1" x14ac:dyDescent="0.2">
      <c r="A19" s="9">
        <v>11</v>
      </c>
      <c r="B19" s="66" t="s">
        <v>102</v>
      </c>
      <c r="C19" s="38" t="s">
        <v>50</v>
      </c>
      <c r="D19" s="11">
        <f>IF(C19=$R$7,0,IF(C19=$R$8,1,IF(C19=$R$9,3,0)))</f>
        <v>0</v>
      </c>
      <c r="E19" s="11">
        <v>4</v>
      </c>
      <c r="F19" s="11">
        <f>SUM(D19*E19)</f>
        <v>0</v>
      </c>
    </row>
    <row r="20" spans="1:6" ht="25.5" customHeight="1" x14ac:dyDescent="0.2">
      <c r="A20" s="9">
        <v>12</v>
      </c>
      <c r="B20" s="67" t="s">
        <v>103</v>
      </c>
      <c r="C20" s="39" t="s">
        <v>52</v>
      </c>
      <c r="D20" s="11">
        <f>IF(C20=$S$7,0,IF(C20=$S$8,1,IF(C20=$S$9,2,0)))</f>
        <v>1</v>
      </c>
      <c r="E20" s="13">
        <v>2</v>
      </c>
      <c r="F20" s="13">
        <f>SUM(D20*E20)</f>
        <v>2</v>
      </c>
    </row>
    <row r="21" spans="1:6" ht="25.5" customHeight="1" x14ac:dyDescent="0.2">
      <c r="A21" s="9">
        <v>13</v>
      </c>
      <c r="B21" s="67" t="s">
        <v>8</v>
      </c>
      <c r="C21" s="39" t="s">
        <v>53</v>
      </c>
      <c r="D21" s="11">
        <f>IF(C21=$T$7,0,IF(C21=$T$8,2,IF(C21=$T$9,4,0)))</f>
        <v>0</v>
      </c>
      <c r="E21" s="13">
        <v>5</v>
      </c>
      <c r="F21" s="13">
        <f>SUM(D21*E21)</f>
        <v>0</v>
      </c>
    </row>
    <row r="22" spans="1:6" ht="25.5" customHeight="1" x14ac:dyDescent="0.2">
      <c r="A22" s="9">
        <v>14</v>
      </c>
      <c r="B22" s="67" t="s">
        <v>9</v>
      </c>
      <c r="C22" s="39" t="s">
        <v>57</v>
      </c>
      <c r="D22" s="11">
        <f>IF(C22=$U$7,0,IF(C22=$U$8,2,IF(C22=$U$9,4,0)))</f>
        <v>2</v>
      </c>
      <c r="E22" s="13">
        <v>5</v>
      </c>
      <c r="F22" s="13">
        <f>SUM(D22*E22)</f>
        <v>10</v>
      </c>
    </row>
    <row r="23" spans="1:6" ht="25.5" customHeight="1" x14ac:dyDescent="0.2">
      <c r="A23" s="9">
        <v>15</v>
      </c>
      <c r="B23" s="68" t="s">
        <v>104</v>
      </c>
      <c r="C23" s="40" t="s">
        <v>61</v>
      </c>
      <c r="D23" s="11">
        <f>IF(C23=$V$7,0,IF(C23=$V$8,1,IF(C23=$V$9,3,0)))</f>
        <v>3</v>
      </c>
      <c r="E23" s="15">
        <v>3</v>
      </c>
      <c r="F23" s="15">
        <f>SUM(D23*E23)</f>
        <v>9</v>
      </c>
    </row>
    <row r="24" spans="1:6" x14ac:dyDescent="0.2">
      <c r="A24" s="28" t="s">
        <v>10</v>
      </c>
      <c r="B24" s="53"/>
      <c r="C24" s="44" t="s">
        <v>84</v>
      </c>
      <c r="D24" s="18"/>
      <c r="E24" s="18"/>
      <c r="F24" s="17"/>
    </row>
    <row r="25" spans="1:6" ht="25.5" customHeight="1" x14ac:dyDescent="0.2">
      <c r="A25" s="11">
        <v>16</v>
      </c>
      <c r="B25" s="66" t="s">
        <v>105</v>
      </c>
      <c r="C25" s="38" t="s">
        <v>62</v>
      </c>
      <c r="D25" s="11">
        <f>IF(C25=$W$7,0,IF(C25=$W$8,2,IF(C25=$W$9,4,0)))</f>
        <v>2</v>
      </c>
      <c r="E25" s="19">
        <v>3</v>
      </c>
      <c r="F25" s="19">
        <f t="shared" ref="F25:F32" si="1">SUM(D25*E25)</f>
        <v>6</v>
      </c>
    </row>
    <row r="26" spans="1:6" ht="25.5" customHeight="1" x14ac:dyDescent="0.2">
      <c r="A26" s="13">
        <v>17</v>
      </c>
      <c r="B26" s="67" t="s">
        <v>106</v>
      </c>
      <c r="C26" s="39" t="s">
        <v>62</v>
      </c>
      <c r="D26" s="11">
        <f>IF(C26=$X$7,0,IF(C26=$X$8,2,IF(C26=$X$9,4,0)))</f>
        <v>2</v>
      </c>
      <c r="E26" s="15">
        <v>3</v>
      </c>
      <c r="F26" s="15">
        <f t="shared" si="1"/>
        <v>6</v>
      </c>
    </row>
    <row r="27" spans="1:6" ht="25.5" customHeight="1" x14ac:dyDescent="0.2">
      <c r="A27" s="13">
        <v>18</v>
      </c>
      <c r="B27" s="67" t="s">
        <v>107</v>
      </c>
      <c r="C27" s="39" t="s">
        <v>66</v>
      </c>
      <c r="D27" s="11">
        <f>IF(C27=$Y$7,0,IF(C27=$Y$8,1,IF(C27=$Y$9,3,0)))</f>
        <v>1</v>
      </c>
      <c r="E27" s="15">
        <v>3</v>
      </c>
      <c r="F27" s="15">
        <f t="shared" si="1"/>
        <v>3</v>
      </c>
    </row>
    <row r="28" spans="1:6" ht="25.5" customHeight="1" x14ac:dyDescent="0.2">
      <c r="A28" s="13">
        <v>19</v>
      </c>
      <c r="B28" s="67" t="s">
        <v>108</v>
      </c>
      <c r="C28" s="39" t="s">
        <v>62</v>
      </c>
      <c r="D28" s="11">
        <f>IF(C28=$Z$7,0,IF(C28=$Z$8,1,IF(C28=$Z$9,3,0)))</f>
        <v>1</v>
      </c>
      <c r="E28" s="15">
        <v>5</v>
      </c>
      <c r="F28" s="15">
        <f t="shared" si="1"/>
        <v>5</v>
      </c>
    </row>
    <row r="29" spans="1:6" ht="25.5" customHeight="1" x14ac:dyDescent="0.2">
      <c r="A29" s="13">
        <v>20</v>
      </c>
      <c r="B29" s="67" t="s">
        <v>109</v>
      </c>
      <c r="C29" s="39" t="s">
        <v>62</v>
      </c>
      <c r="D29" s="11">
        <f>IF(C29=$AA$7,0,IF(C29=$AA$8,1,IF(C29=$AA$9,3,0)))</f>
        <v>1</v>
      </c>
      <c r="E29" s="15">
        <v>5</v>
      </c>
      <c r="F29" s="15">
        <f t="shared" si="1"/>
        <v>5</v>
      </c>
    </row>
    <row r="30" spans="1:6" ht="25.5" customHeight="1" x14ac:dyDescent="0.2">
      <c r="A30" s="13">
        <v>21</v>
      </c>
      <c r="B30" s="67" t="s">
        <v>110</v>
      </c>
      <c r="C30" s="39" t="s">
        <v>69</v>
      </c>
      <c r="D30" s="11">
        <f>IF(C30=$AB$7,0,IF(C30=$AB$8,2,IF(C30=$AB$9,5,0)))</f>
        <v>2</v>
      </c>
      <c r="E30" s="15">
        <v>5</v>
      </c>
      <c r="F30" s="15">
        <f t="shared" si="1"/>
        <v>10</v>
      </c>
    </row>
    <row r="31" spans="1:6" ht="25.5" customHeight="1" x14ac:dyDescent="0.2">
      <c r="A31" s="13">
        <v>22</v>
      </c>
      <c r="B31" s="67" t="s">
        <v>111</v>
      </c>
      <c r="C31" s="39" t="s">
        <v>71</v>
      </c>
      <c r="D31" s="11">
        <f>IF(C31=$AC$7,0,IF(C31=$AC$8,2,IF(C31=$AC$9,5,0)))</f>
        <v>0</v>
      </c>
      <c r="E31" s="15">
        <v>5</v>
      </c>
      <c r="F31" s="15">
        <f t="shared" si="1"/>
        <v>0</v>
      </c>
    </row>
    <row r="32" spans="1:6" ht="25.5" customHeight="1" x14ac:dyDescent="0.2">
      <c r="A32" s="13">
        <v>23</v>
      </c>
      <c r="B32" s="67" t="s">
        <v>112</v>
      </c>
      <c r="C32" s="39" t="s">
        <v>75</v>
      </c>
      <c r="D32" s="11">
        <f>IF(C32=$AD$7,0,IF(C32=$AD$8,2,IF(C32=$AD$9,4,0)))</f>
        <v>2</v>
      </c>
      <c r="E32" s="13">
        <v>4</v>
      </c>
      <c r="F32" s="13">
        <f t="shared" si="1"/>
        <v>8</v>
      </c>
    </row>
    <row r="33" spans="1:7" ht="12" customHeight="1" x14ac:dyDescent="0.2">
      <c r="A33" s="20"/>
      <c r="B33" s="54"/>
      <c r="C33" s="20"/>
      <c r="D33" s="20"/>
      <c r="E33" s="20"/>
      <c r="F33" s="20"/>
    </row>
    <row r="34" spans="1:7" ht="13.5" customHeight="1" x14ac:dyDescent="0.2">
      <c r="A34" s="43" t="s">
        <v>121</v>
      </c>
      <c r="B34" s="54"/>
      <c r="C34" s="20"/>
      <c r="D34" s="20"/>
      <c r="E34" s="20"/>
      <c r="F34" s="20"/>
      <c r="G34" s="21"/>
    </row>
    <row r="35" spans="1:7" ht="12" customHeight="1" x14ac:dyDescent="0.2">
      <c r="A35" s="22"/>
      <c r="B35" s="55"/>
      <c r="C35" s="22"/>
      <c r="D35" s="22"/>
      <c r="E35" s="22"/>
      <c r="F35" s="22"/>
      <c r="G35" s="21"/>
    </row>
    <row r="36" spans="1:7" s="5" customFormat="1" x14ac:dyDescent="0.2">
      <c r="A36" s="23" t="s">
        <v>0</v>
      </c>
      <c r="B36" s="56" t="s">
        <v>1</v>
      </c>
      <c r="C36" s="23" t="s">
        <v>13</v>
      </c>
      <c r="D36" s="23" t="s">
        <v>14</v>
      </c>
      <c r="E36" s="23" t="s">
        <v>15</v>
      </c>
      <c r="F36" s="23" t="s">
        <v>21</v>
      </c>
    </row>
    <row r="37" spans="1:7" x14ac:dyDescent="0.2">
      <c r="A37" s="28" t="s">
        <v>11</v>
      </c>
      <c r="B37" s="53"/>
      <c r="C37" s="44" t="s">
        <v>84</v>
      </c>
      <c r="D37" s="18"/>
      <c r="E37" s="18"/>
      <c r="F37" s="17"/>
    </row>
    <row r="38" spans="1:7" ht="25.5" customHeight="1" x14ac:dyDescent="0.2">
      <c r="A38" s="13">
        <v>24</v>
      </c>
      <c r="B38" s="67" t="s">
        <v>113</v>
      </c>
      <c r="C38" s="39" t="s">
        <v>77</v>
      </c>
      <c r="D38" s="11">
        <f>IF(C38=$AE$7,0,IF(C38=$AE$8,1,IF(C38=$AE$9,5,0)))</f>
        <v>1</v>
      </c>
      <c r="E38" s="13">
        <v>5</v>
      </c>
      <c r="F38" s="13">
        <f t="shared" ref="F38:F43" si="2">SUM(D38*E38)</f>
        <v>5</v>
      </c>
    </row>
    <row r="39" spans="1:7" ht="25.5" customHeight="1" x14ac:dyDescent="0.2">
      <c r="A39" s="13">
        <v>25</v>
      </c>
      <c r="B39" s="67" t="s">
        <v>114</v>
      </c>
      <c r="C39" s="39" t="s">
        <v>28</v>
      </c>
      <c r="D39" s="11">
        <f>IF(C39=$AF$7,0,IF(C39=$AF$8,2,IF(C39=$AF$9,5,0)))</f>
        <v>0</v>
      </c>
      <c r="E39" s="13">
        <v>5</v>
      </c>
      <c r="F39" s="13">
        <f t="shared" si="2"/>
        <v>0</v>
      </c>
    </row>
    <row r="40" spans="1:7" ht="25.5" customHeight="1" x14ac:dyDescent="0.2">
      <c r="A40" s="13">
        <v>26</v>
      </c>
      <c r="B40" s="67" t="s">
        <v>115</v>
      </c>
      <c r="C40" s="39" t="s">
        <v>57</v>
      </c>
      <c r="D40" s="11">
        <f>IF(C40=$AG$7,0,IF(C40=$AG$8,1,IF(C40=$AG$9,3,0)))</f>
        <v>1</v>
      </c>
      <c r="E40" s="13">
        <v>4</v>
      </c>
      <c r="F40" s="13">
        <f t="shared" si="2"/>
        <v>4</v>
      </c>
    </row>
    <row r="41" spans="1:7" ht="25.5" customHeight="1" x14ac:dyDescent="0.2">
      <c r="A41" s="13">
        <v>27</v>
      </c>
      <c r="B41" s="67" t="s">
        <v>116</v>
      </c>
      <c r="C41" s="39" t="s">
        <v>31</v>
      </c>
      <c r="D41" s="11">
        <f>IF(C41=$AH$7,0,IF(C41=$AH$8,1,IF(C41=$AH$9,3,0)))</f>
        <v>0</v>
      </c>
      <c r="E41" s="13">
        <v>4</v>
      </c>
      <c r="F41" s="13">
        <f t="shared" si="2"/>
        <v>0</v>
      </c>
    </row>
    <row r="42" spans="1:7" ht="25.5" customHeight="1" x14ac:dyDescent="0.2">
      <c r="A42" s="13">
        <v>28</v>
      </c>
      <c r="B42" s="67" t="s">
        <v>117</v>
      </c>
      <c r="C42" s="39" t="s">
        <v>77</v>
      </c>
      <c r="D42" s="11">
        <f>IF(C42=$AI$7,0,IF(C42=$AI$8,1,IF(C42=$AI$9,3,IF(C42=AI10,5,0))))</f>
        <v>1</v>
      </c>
      <c r="E42" s="13">
        <v>4</v>
      </c>
      <c r="F42" s="13">
        <f t="shared" si="2"/>
        <v>4</v>
      </c>
    </row>
    <row r="43" spans="1:7" ht="25.5" customHeight="1" x14ac:dyDescent="0.2">
      <c r="A43" s="13">
        <v>29</v>
      </c>
      <c r="B43" s="67" t="s">
        <v>118</v>
      </c>
      <c r="C43" s="39" t="s">
        <v>81</v>
      </c>
      <c r="D43" s="11">
        <f>IF(C43=$AJ$7,0,IF(C43=$AJ$8,2,IF(C43=$AJ$9,5,0)))</f>
        <v>0</v>
      </c>
      <c r="E43" s="15">
        <v>5</v>
      </c>
      <c r="F43" s="15">
        <f t="shared" si="2"/>
        <v>0</v>
      </c>
    </row>
    <row r="44" spans="1:7" x14ac:dyDescent="0.2">
      <c r="A44" s="24"/>
      <c r="D44" s="25" t="s">
        <v>12</v>
      </c>
      <c r="E44" s="26"/>
      <c r="F44" s="27">
        <f>SUM(F7:F43)</f>
        <v>160</v>
      </c>
    </row>
    <row r="45" spans="1:7" x14ac:dyDescent="0.2">
      <c r="D45" s="28" t="s">
        <v>16</v>
      </c>
      <c r="E45" s="29"/>
      <c r="F45" s="30">
        <f>(F44/433)</f>
        <v>0.36951501154734412</v>
      </c>
    </row>
    <row r="47" spans="1:7" x14ac:dyDescent="0.2">
      <c r="A47" s="31" t="s">
        <v>17</v>
      </c>
    </row>
    <row r="48" spans="1:7" x14ac:dyDescent="0.2">
      <c r="A48" s="31" t="s">
        <v>20</v>
      </c>
    </row>
    <row r="49" spans="1:6" x14ac:dyDescent="0.2">
      <c r="A49" s="31" t="s">
        <v>83</v>
      </c>
    </row>
    <row r="50" spans="1:6" x14ac:dyDescent="0.2">
      <c r="B50" s="58"/>
      <c r="C50" s="21"/>
      <c r="D50" s="21"/>
      <c r="E50" s="21"/>
    </row>
    <row r="51" spans="1:6" x14ac:dyDescent="0.2">
      <c r="A51" s="1" t="s">
        <v>119</v>
      </c>
    </row>
    <row r="52" spans="1:6" x14ac:dyDescent="0.2">
      <c r="A52" s="1" t="s">
        <v>22</v>
      </c>
    </row>
    <row r="53" spans="1:6" x14ac:dyDescent="0.2">
      <c r="A53" s="1" t="s">
        <v>23</v>
      </c>
    </row>
    <row r="55" spans="1:6" x14ac:dyDescent="0.2">
      <c r="A55" s="32" t="s">
        <v>33</v>
      </c>
      <c r="B55" s="59"/>
      <c r="C55" s="16"/>
      <c r="D55" s="16"/>
      <c r="E55" s="16"/>
      <c r="F55" s="26"/>
    </row>
    <row r="56" spans="1:6" x14ac:dyDescent="0.2">
      <c r="A56" s="6" t="s">
        <v>2</v>
      </c>
      <c r="B56" s="60"/>
      <c r="C56" s="26" t="s">
        <v>18</v>
      </c>
      <c r="D56" s="33">
        <v>40</v>
      </c>
      <c r="E56" s="33" t="s">
        <v>19</v>
      </c>
      <c r="F56" s="33">
        <f>SUM(F7:F9)</f>
        <v>16</v>
      </c>
    </row>
    <row r="57" spans="1:6" x14ac:dyDescent="0.2">
      <c r="A57" s="34" t="s">
        <v>4</v>
      </c>
      <c r="B57" s="61"/>
      <c r="C57" s="33" t="s">
        <v>18</v>
      </c>
      <c r="D57" s="33">
        <v>80</v>
      </c>
      <c r="E57" s="33" t="s">
        <v>19</v>
      </c>
      <c r="F57" s="33">
        <f>SUM(F11:F17)</f>
        <v>67</v>
      </c>
    </row>
    <row r="58" spans="1:6" x14ac:dyDescent="0.2">
      <c r="A58" s="33" t="s">
        <v>7</v>
      </c>
      <c r="B58" s="56"/>
      <c r="C58" s="33" t="s">
        <v>18</v>
      </c>
      <c r="D58" s="33">
        <v>65</v>
      </c>
      <c r="E58" s="33" t="s">
        <v>19</v>
      </c>
      <c r="F58" s="33">
        <f>SUM(F19:F23)</f>
        <v>21</v>
      </c>
    </row>
    <row r="59" spans="1:6" x14ac:dyDescent="0.2">
      <c r="A59" s="33" t="s">
        <v>10</v>
      </c>
      <c r="B59" s="56"/>
      <c r="C59" s="33" t="s">
        <v>18</v>
      </c>
      <c r="D59" s="33">
        <v>129</v>
      </c>
      <c r="E59" s="33" t="s">
        <v>19</v>
      </c>
      <c r="F59" s="33">
        <f>SUM(F25:F32)</f>
        <v>43</v>
      </c>
    </row>
    <row r="60" spans="1:6" x14ac:dyDescent="0.2">
      <c r="A60" s="33" t="s">
        <v>11</v>
      </c>
      <c r="B60" s="56"/>
      <c r="C60" s="33" t="s">
        <v>18</v>
      </c>
      <c r="D60" s="33">
        <v>119</v>
      </c>
      <c r="E60" s="33" t="s">
        <v>19</v>
      </c>
      <c r="F60" s="33">
        <f>SUM(F38:F43)</f>
        <v>13</v>
      </c>
    </row>
    <row r="61" spans="1:6" ht="6" customHeight="1" x14ac:dyDescent="0.2"/>
    <row r="79" spans="1:5" ht="6" customHeight="1" thickBot="1" x14ac:dyDescent="0.25"/>
    <row r="80" spans="1:5" ht="12.75" customHeight="1" x14ac:dyDescent="0.2">
      <c r="A80" s="24" t="s">
        <v>82</v>
      </c>
      <c r="B80" s="70"/>
      <c r="C80" s="71"/>
      <c r="D80" s="71"/>
      <c r="E80" s="72"/>
    </row>
    <row r="81" spans="2:5" ht="12.75" customHeight="1" x14ac:dyDescent="0.2">
      <c r="B81" s="73"/>
      <c r="C81" s="74"/>
      <c r="D81" s="74"/>
      <c r="E81" s="75"/>
    </row>
    <row r="82" spans="2:5" ht="12.75" customHeight="1" x14ac:dyDescent="0.2">
      <c r="B82" s="73"/>
      <c r="C82" s="74"/>
      <c r="D82" s="74"/>
      <c r="E82" s="75"/>
    </row>
    <row r="83" spans="2:5" ht="12.75" customHeight="1" x14ac:dyDescent="0.2">
      <c r="B83" s="73"/>
      <c r="C83" s="74"/>
      <c r="D83" s="74"/>
      <c r="E83" s="75"/>
    </row>
    <row r="84" spans="2:5" ht="12.75" customHeight="1" x14ac:dyDescent="0.2">
      <c r="B84" s="73"/>
      <c r="C84" s="74"/>
      <c r="D84" s="74"/>
      <c r="E84" s="75"/>
    </row>
    <row r="85" spans="2:5" ht="12.75" customHeight="1" x14ac:dyDescent="0.2">
      <c r="B85" s="73"/>
      <c r="C85" s="74"/>
      <c r="D85" s="74"/>
      <c r="E85" s="75"/>
    </row>
    <row r="86" spans="2:5" ht="12.75" customHeight="1" x14ac:dyDescent="0.2">
      <c r="B86" s="73"/>
      <c r="C86" s="74"/>
      <c r="D86" s="74"/>
      <c r="E86" s="75"/>
    </row>
    <row r="87" spans="2:5" ht="12.75" customHeight="1" x14ac:dyDescent="0.2">
      <c r="B87" s="73"/>
      <c r="C87" s="74"/>
      <c r="D87" s="74"/>
      <c r="E87" s="75"/>
    </row>
    <row r="88" spans="2:5" ht="12.75" customHeight="1" x14ac:dyDescent="0.2">
      <c r="B88" s="73"/>
      <c r="C88" s="74"/>
      <c r="D88" s="74"/>
      <c r="E88" s="75"/>
    </row>
    <row r="89" spans="2:5" ht="12.75" customHeight="1" thickBot="1" x14ac:dyDescent="0.25">
      <c r="B89" s="76"/>
      <c r="C89" s="77"/>
      <c r="D89" s="77"/>
      <c r="E89" s="78"/>
    </row>
    <row r="90" spans="2:5" ht="6" customHeight="1" x14ac:dyDescent="0.2"/>
    <row r="91" spans="2:5" x14ac:dyDescent="0.2">
      <c r="B91" s="80"/>
      <c r="C91" s="80"/>
      <c r="D91" s="80"/>
      <c r="E91" s="80"/>
    </row>
  </sheetData>
  <sheetProtection password="F45E" sheet="1" objects="1" scenarios="1" selectLockedCells="1"/>
  <mergeCells count="3">
    <mergeCell ref="B80:E89"/>
    <mergeCell ref="A4:D4"/>
    <mergeCell ref="B91:E91"/>
  </mergeCells>
  <phoneticPr fontId="1" type="noConversion"/>
  <dataValidations count="29">
    <dataValidation type="list" allowBlank="1" showInputMessage="1" showErrorMessage="1" sqref="C7">
      <formula1>$H$7:$H$9</formula1>
    </dataValidation>
    <dataValidation type="list" allowBlank="1" showInputMessage="1" showErrorMessage="1" sqref="C8">
      <formula1>$I$7:$I$9</formula1>
    </dataValidation>
    <dataValidation type="list" allowBlank="1" showInputMessage="1" showErrorMessage="1" sqref="C9">
      <formula1>$J$7:$J$9</formula1>
    </dataValidation>
    <dataValidation type="list" allowBlank="1" showInputMessage="1" showErrorMessage="1" sqref="C12">
      <formula1>$L$7:$L$9</formula1>
    </dataValidation>
    <dataValidation type="list" allowBlank="1" showInputMessage="1" showErrorMessage="1" sqref="C13">
      <formula1>$M$7:$M$9</formula1>
    </dataValidation>
    <dataValidation type="list" allowBlank="1" showInputMessage="1" showErrorMessage="1" sqref="C16">
      <formula1>$P$7:$P$9</formula1>
    </dataValidation>
    <dataValidation type="list" allowBlank="1" showInputMessage="1" showErrorMessage="1" sqref="C17">
      <formula1>$Q$7:$Q$9</formula1>
    </dataValidation>
    <dataValidation type="list" allowBlank="1" showInputMessage="1" showErrorMessage="1" sqref="C19">
      <formula1>$R$7:$R$9</formula1>
    </dataValidation>
    <dataValidation type="list" allowBlank="1" showInputMessage="1" showErrorMessage="1" sqref="C20">
      <formula1>$S$7:$S$9</formula1>
    </dataValidation>
    <dataValidation type="list" allowBlank="1" showInputMessage="1" showErrorMessage="1" sqref="C21">
      <formula1>$T$7:$T$9</formula1>
    </dataValidation>
    <dataValidation type="list" allowBlank="1" showInputMessage="1" showErrorMessage="1" sqref="C22">
      <formula1>$U$7:$U$9</formula1>
    </dataValidation>
    <dataValidation type="list" allowBlank="1" showInputMessage="1" showErrorMessage="1" sqref="C23">
      <formula1>$V$7:$V$9</formula1>
    </dataValidation>
    <dataValidation type="list" allowBlank="1" showInputMessage="1" showErrorMessage="1" sqref="C25">
      <formula1>$W$7:$W$9</formula1>
    </dataValidation>
    <dataValidation type="list" allowBlank="1" showInputMessage="1" showErrorMessage="1" sqref="C26">
      <formula1>$X$7:$X$9</formula1>
    </dataValidation>
    <dataValidation type="list" allowBlank="1" showInputMessage="1" showErrorMessage="1" sqref="C27">
      <formula1>$Y$7:$Y$9</formula1>
    </dataValidation>
    <dataValidation type="list" allowBlank="1" showInputMessage="1" showErrorMessage="1" sqref="C28">
      <formula1>$Z$7:$Z$9</formula1>
    </dataValidation>
    <dataValidation type="list" allowBlank="1" showInputMessage="1" showErrorMessage="1" sqref="C29">
      <formula1>$AA$7:$AA$9</formula1>
    </dataValidation>
    <dataValidation type="list" allowBlank="1" showInputMessage="1" showErrorMessage="1" sqref="C30">
      <formula1>$AB$7:$AB$9</formula1>
    </dataValidation>
    <dataValidation type="list" allowBlank="1" showInputMessage="1" showErrorMessage="1" sqref="C31">
      <formula1>$AC$7:$AC$9</formula1>
    </dataValidation>
    <dataValidation type="list" allowBlank="1" showInputMessage="1" showErrorMessage="1" sqref="C32">
      <formula1>$AD$7:$AD$9</formula1>
    </dataValidation>
    <dataValidation type="list" allowBlank="1" showInputMessage="1" showErrorMessage="1" sqref="C38">
      <formula1>$AE$7:$AE$9</formula1>
    </dataValidation>
    <dataValidation type="list" allowBlank="1" showInputMessage="1" showErrorMessage="1" sqref="C39">
      <formula1>$AF$7:$AF$9</formula1>
    </dataValidation>
    <dataValidation type="list" allowBlank="1" showInputMessage="1" showErrorMessage="1" sqref="C40">
      <formula1>$AG$7:$AG$9</formula1>
    </dataValidation>
    <dataValidation type="list" allowBlank="1" showInputMessage="1" showErrorMessage="1" sqref="C41">
      <formula1>$AH$7:$AH$9</formula1>
    </dataValidation>
    <dataValidation type="list" allowBlank="1" showInputMessage="1" showErrorMessage="1" sqref="C11">
      <formula1>$K$7:$K$9</formula1>
    </dataValidation>
    <dataValidation type="list" allowBlank="1" showInputMessage="1" showErrorMessage="1" sqref="C14">
      <formula1>$N$7:$N$10</formula1>
    </dataValidation>
    <dataValidation type="list" allowBlank="1" showInputMessage="1" showErrorMessage="1" sqref="C15">
      <formula1>$O$7:$O$9</formula1>
    </dataValidation>
    <dataValidation type="list" allowBlank="1" showInputMessage="1" showErrorMessage="1" sqref="C42">
      <formula1>$AI$7:$AI$10</formula1>
    </dataValidation>
    <dataValidation type="list" allowBlank="1" showInputMessage="1" showErrorMessage="1" sqref="C43">
      <formula1>$AJ$7:$AJ$9</formula1>
    </dataValidation>
  </dataValidations>
  <pageMargins left="0.82677165354330717" right="0.70866141732283472" top="0.70866141732283472" bottom="0.86614173228346458" header="0.31496062992125984" footer="0.51181102362204722"/>
  <pageSetup paperSize="9" orientation="portrait" verticalDpi="300" r:id="rId1"/>
  <headerFooter alignWithMargins="0">
    <oddHeader>&amp;C&amp;"Arial,Vet"&amp;8Risico-analyse</oddHeader>
    <oddFooter>&amp;L&amp;8Boek: Projectmanagement&amp;C&amp;8door Roel Grit&amp;R&amp;8Excelmodel door Jurgen Winkel</oddFooter>
  </headerFooter>
  <rowBreaks count="1" manualBreakCount="1">
    <brk id="33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1</vt:i4>
      </vt:variant>
    </vt:vector>
  </HeadingPairs>
  <TitlesOfParts>
    <vt:vector size="4" baseType="lpstr">
      <vt:lpstr>Gebruikersinfo</vt:lpstr>
      <vt:lpstr>Risico-analyse</vt:lpstr>
      <vt:lpstr>Blad1</vt:lpstr>
      <vt:lpstr>'Risico-analyse'!Afdrukbereik</vt:lpstr>
    </vt:vector>
  </TitlesOfParts>
  <Manager>Nvt</Manager>
  <Company>DELPHIconcept</Company>
  <LinksUpToDate>false</LinksUpToDate>
  <SharedDoc>false</SharedDoc>
  <HyperlinkBase>Nvt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Digitale risicoanalyse</dc:title>
  <dc:subject>Project management</dc:subject>
  <dc:creator>Jurgen Winkel</dc:creator>
  <cp:keywords>Nvt</cp:keywords>
  <dc:description>Nvt</dc:description>
  <cp:lastModifiedBy>Rebecca Broens</cp:lastModifiedBy>
  <cp:lastPrinted>2008-02-20T21:32:13Z</cp:lastPrinted>
  <dcterms:created xsi:type="dcterms:W3CDTF">2002-04-08T05:28:12Z</dcterms:created>
  <dcterms:modified xsi:type="dcterms:W3CDTF">2017-02-16T09:16:19Z</dcterms:modified>
  <cp:category>Nvt</cp:category>
</cp:coreProperties>
</file>